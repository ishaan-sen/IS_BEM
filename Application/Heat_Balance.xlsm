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sen\Desktop\IS_BEM\Application\"/>
    </mc:Choice>
  </mc:AlternateContent>
  <bookViews>
    <workbookView xWindow="489270" yWindow="0" windowWidth="29685" windowHeight="15360" tabRatio="434"/>
  </bookViews>
  <sheets>
    <sheet name="Sheet1" sheetId="1" r:id="rId1"/>
  </sheets>
  <definedNames>
    <definedName name="alpha_s">Sheet1!$C$7</definedName>
    <definedName name="alpha_sky">Sheet1!$C$10</definedName>
    <definedName name="Conduct">Sheet1!$C$28</definedName>
    <definedName name="Convect">Sheet1!$C$24</definedName>
    <definedName name="epsilon_0">Sheet1!$C$19</definedName>
    <definedName name="Error">Sheet1!$C$30</definedName>
    <definedName name="Face_Area">Sheet1!$C$5</definedName>
    <definedName name="G_s">Sheet1!$C$6</definedName>
    <definedName name="G_sky">Sheet1!$C$9</definedName>
    <definedName name="h">Sheet1!$C$12</definedName>
    <definedName name="kappa">Sheet1!$C$14</definedName>
    <definedName name="L">Sheet1!$C$16</definedName>
    <definedName name="Radiate">Sheet1!$C$25</definedName>
    <definedName name="sigma">Sheet1!$C$20</definedName>
    <definedName name="Sky">Sheet1!$C$23</definedName>
    <definedName name="Solar">Sheet1!$C$22</definedName>
    <definedName name="T_amb">Sheet1!$C$13</definedName>
    <definedName name="T_i">Sheet1!$C$15</definedName>
    <definedName name="T_s">Sheet1!$C$18</definedName>
    <definedName name="tau_s">Sheet1!$C$8</definedName>
    <definedName name="tau_sky">Sheet1!$C$11</definedName>
    <definedName name="Total_LHS">Sheet1!$C$26</definedName>
    <definedName name="Transmit">Sheet1!$C$32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24" i="1"/>
  <c r="C23" i="1"/>
  <c r="C22" i="1"/>
  <c r="C28" i="1"/>
  <c r="C19" i="1"/>
  <c r="C25" i="1" s="1"/>
  <c r="C26" i="1" l="1"/>
  <c r="C33" i="1" s="1"/>
  <c r="C30" i="1" l="1"/>
</calcChain>
</file>

<file path=xl/sharedStrings.xml><?xml version="1.0" encoding="utf-8"?>
<sst xmlns="http://schemas.openxmlformats.org/spreadsheetml/2006/main" count="55" uniqueCount="44">
  <si>
    <t>G_s</t>
  </si>
  <si>
    <t>G_sky</t>
  </si>
  <si>
    <t>alpha_sky</t>
  </si>
  <si>
    <t>alpha_s</t>
  </si>
  <si>
    <t>h</t>
  </si>
  <si>
    <t>T_amb</t>
  </si>
  <si>
    <t>sigma</t>
  </si>
  <si>
    <t>T_s</t>
  </si>
  <si>
    <t>T_i</t>
  </si>
  <si>
    <t>kappa</t>
  </si>
  <si>
    <t>L</t>
  </si>
  <si>
    <t>K</t>
  </si>
  <si>
    <t>W/m^2</t>
  </si>
  <si>
    <t>W/m^2K</t>
  </si>
  <si>
    <t>W/mK</t>
  </si>
  <si>
    <t>m</t>
  </si>
  <si>
    <t>Solar</t>
  </si>
  <si>
    <t>Sky</t>
  </si>
  <si>
    <t>epsilon_0</t>
  </si>
  <si>
    <t>Convect</t>
  </si>
  <si>
    <t>Radiate</t>
  </si>
  <si>
    <t>Conduct</t>
  </si>
  <si>
    <t>Error</t>
  </si>
  <si>
    <t>LHS</t>
  </si>
  <si>
    <t>RHS</t>
  </si>
  <si>
    <t>Total_LHS</t>
  </si>
  <si>
    <t>Output cells</t>
  </si>
  <si>
    <t>Input cells</t>
  </si>
  <si>
    <t>Goal seek cells</t>
  </si>
  <si>
    <t>Stefan-Boltzman constant</t>
  </si>
  <si>
    <t>(surface property)</t>
  </si>
  <si>
    <t>(surface property, same as alpha_sky for long waves)</t>
  </si>
  <si>
    <t>W</t>
  </si>
  <si>
    <t>Face_Area</t>
  </si>
  <si>
    <t>m^2</t>
  </si>
  <si>
    <t>(W/m^2  x  m^2)</t>
  </si>
  <si>
    <t>Note: G_s and G_sky are input in units of Watts, where the DNI and DIF are already multiplied by areas.</t>
  </si>
  <si>
    <t>As a result, the calculations of convection, radiation, and conduction include a multiplication by the face_area, to keep all heat units in Watts (not W/m^2).</t>
  </si>
  <si>
    <t>Thus, the output blue cell gives the total heat load to the face in Watts.</t>
  </si>
  <si>
    <t>tau_s</t>
  </si>
  <si>
    <t>tau_sky</t>
  </si>
  <si>
    <t>Transmit</t>
  </si>
  <si>
    <t>Total Heat Load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</si>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</sst>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0" borderId="0" xfId="0" applyNumberFormat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2" borderId="0" xfId="0" applyNumberFormat="1" applyFill="1"/>
    <xf numFmtId="0" fontId="0" fillId="0" borderId="0" xfId="0" applyFill="1"/>
    <xf numFmtId="11" fontId="0" fillId="0" borderId="0" xfId="0" applyNumberFormat="1" applyFill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Fill="1"/>
    <xf numFmtId="0" fontId="1" fillId="5" borderId="0" xfId="0" applyFont="1" applyFill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I37"/>
  <sheetViews>
    <sheetView tabSelected="1" workbookViewId="0">
      <selection activeCell="I14" sqref="I14"/>
    </sheetView>
  </sheetViews>
  <sheetFormatPr defaultRowHeight="15" x14ac:dyDescent="0.25"/>
  <cols>
    <col min="2" max="2" width="9.42578125" bestFit="1" customWidth="1"/>
    <col min="3" max="3" width="12.42578125" bestFit="1" customWidth="1"/>
  </cols>
  <sheetData>
    <row r="5" spans="2:9" x14ac:dyDescent="0.25">
      <c r="B5" s="9" t="s">
        <v>33</v>
      </c>
      <c r="C5" s="4">
        <v>62.799820953999998</v>
      </c>
      <c r="D5" t="s">
        <v>34</v>
      </c>
      <c r="H5" s="4"/>
      <c r="I5" t="s">
        <v>27</v>
      </c>
    </row>
    <row r="6" spans="2:9" x14ac:dyDescent="0.25">
      <c r="B6" s="9" t="s">
        <v>0</v>
      </c>
      <c r="C6" s="4">
        <v>26929.693479756999</v>
      </c>
      <c r="D6" t="s">
        <v>32</v>
      </c>
      <c r="E6" t="s">
        <v>35</v>
      </c>
      <c r="H6" s="5"/>
      <c r="I6" t="s">
        <v>26</v>
      </c>
    </row>
    <row r="7" spans="2:9" x14ac:dyDescent="0.25">
      <c r="B7" s="9" t="s">
        <v>3</v>
      </c>
      <c r="C7" s="4">
        <v>0.5</v>
      </c>
      <c r="E7" t="s">
        <v>30</v>
      </c>
      <c r="H7" s="1"/>
      <c r="I7" t="s">
        <v>28</v>
      </c>
    </row>
    <row r="8" spans="2:9" x14ac:dyDescent="0.25">
      <c r="B8" s="9" t="s">
        <v>39</v>
      </c>
      <c r="C8" s="4">
        <v>0</v>
      </c>
      <c r="H8" s="1"/>
    </row>
    <row r="9" spans="2:9" x14ac:dyDescent="0.25">
      <c r="B9" s="9" t="s">
        <v>1</v>
      </c>
      <c r="C9" s="4">
        <v>9503.6650998290006</v>
      </c>
      <c r="D9" t="s">
        <v>32</v>
      </c>
      <c r="E9" t="s">
        <v>35</v>
      </c>
    </row>
    <row r="10" spans="2:9" x14ac:dyDescent="0.25">
      <c r="B10" s="9" t="s">
        <v>2</v>
      </c>
      <c r="C10" s="4">
        <v>0.5</v>
      </c>
      <c r="E10" t="s">
        <v>30</v>
      </c>
    </row>
    <row r="11" spans="2:9" x14ac:dyDescent="0.25">
      <c r="B11" s="9" t="s">
        <v>40</v>
      </c>
      <c r="C11" s="4">
        <v>0</v>
      </c>
    </row>
    <row r="12" spans="2:9" x14ac:dyDescent="0.25">
      <c r="B12" s="9" t="s">
        <v>4</v>
      </c>
      <c r="C12" s="4">
        <v>22.56</v>
      </c>
      <c r="D12" t="s">
        <v>13</v>
      </c>
    </row>
    <row r="13" spans="2:9" x14ac:dyDescent="0.25">
      <c r="B13" s="9" t="s">
        <v>5</v>
      </c>
      <c r="C13" s="4">
        <v>306.82</v>
      </c>
      <c r="D13" t="s">
        <v>11</v>
      </c>
      <c r="I13" t="s">
        <v>43</v>
      </c>
    </row>
    <row r="14" spans="2:9" x14ac:dyDescent="0.25">
      <c r="B14" s="9" t="s">
        <v>9</v>
      </c>
      <c r="C14" s="4">
        <v>0.06</v>
      </c>
      <c r="D14" t="s">
        <v>14</v>
      </c>
    </row>
    <row r="15" spans="2:9" x14ac:dyDescent="0.25">
      <c r="B15" s="9" t="s">
        <v>8</v>
      </c>
      <c r="C15" s="4">
        <v>295</v>
      </c>
      <c r="D15" t="s">
        <v>11</v>
      </c>
    </row>
    <row r="16" spans="2:9" x14ac:dyDescent="0.25">
      <c r="B16" s="9" t="s">
        <v>10</v>
      </c>
      <c r="C16" s="4">
        <v>0.2</v>
      </c>
      <c r="D16" t="s">
        <v>15</v>
      </c>
    </row>
    <row r="17" spans="1:5" x14ac:dyDescent="0.25">
      <c r="B17" s="9"/>
    </row>
    <row r="18" spans="1:5" x14ac:dyDescent="0.25">
      <c r="B18" s="9" t="s">
        <v>7</v>
      </c>
      <c r="C18" s="1">
        <v>308.16915546574785</v>
      </c>
      <c r="D18" t="s">
        <v>11</v>
      </c>
    </row>
    <row r="19" spans="1:5" x14ac:dyDescent="0.25">
      <c r="B19" s="9" t="s">
        <v>18</v>
      </c>
      <c r="C19" s="7">
        <f>C10</f>
        <v>0.5</v>
      </c>
      <c r="E19" t="s">
        <v>31</v>
      </c>
    </row>
    <row r="20" spans="1:5" x14ac:dyDescent="0.25">
      <c r="B20" s="9" t="s">
        <v>6</v>
      </c>
      <c r="C20" s="8">
        <v>5.6699999999999998E-8</v>
      </c>
      <c r="E20" t="s">
        <v>29</v>
      </c>
    </row>
    <row r="21" spans="1:5" x14ac:dyDescent="0.25">
      <c r="B21" s="9"/>
    </row>
    <row r="22" spans="1:5" x14ac:dyDescent="0.25">
      <c r="A22" s="13" t="s">
        <v>23</v>
      </c>
      <c r="B22" s="9" t="s">
        <v>16</v>
      </c>
      <c r="C22">
        <f>G_s*alpha_s</f>
        <v>13464.8467398785</v>
      </c>
      <c r="D22" t="s">
        <v>32</v>
      </c>
    </row>
    <row r="23" spans="1:5" x14ac:dyDescent="0.25">
      <c r="A23" s="13"/>
      <c r="B23" s="9" t="s">
        <v>17</v>
      </c>
      <c r="C23">
        <f>G_sky*alpha_sky</f>
        <v>4751.8325499145003</v>
      </c>
      <c r="D23" t="s">
        <v>32</v>
      </c>
    </row>
    <row r="24" spans="1:5" x14ac:dyDescent="0.25">
      <c r="A24" s="13"/>
      <c r="B24" s="9" t="s">
        <v>19</v>
      </c>
      <c r="C24">
        <f>h*(T_amb-T_s)*Face_Area</f>
        <v>-1911.4348412829904</v>
      </c>
      <c r="D24" t="s">
        <v>32</v>
      </c>
    </row>
    <row r="25" spans="1:5" x14ac:dyDescent="0.25">
      <c r="A25" s="13"/>
      <c r="B25" s="9" t="s">
        <v>20</v>
      </c>
      <c r="C25" s="2">
        <f>-epsilon_0*sigma*T_s^4*Face_Area</f>
        <v>-16057.138061694779</v>
      </c>
      <c r="D25" t="s">
        <v>32</v>
      </c>
    </row>
    <row r="26" spans="1:5" x14ac:dyDescent="0.25">
      <c r="A26" s="13"/>
      <c r="B26" s="10" t="s">
        <v>25</v>
      </c>
      <c r="C26" s="11">
        <f>Solar+Sky+Convect+Radiate</f>
        <v>248.10638681523051</v>
      </c>
      <c r="D26" t="s">
        <v>32</v>
      </c>
    </row>
    <row r="27" spans="1:5" x14ac:dyDescent="0.25">
      <c r="B27" s="9"/>
    </row>
    <row r="28" spans="1:5" x14ac:dyDescent="0.25">
      <c r="A28" s="3" t="s">
        <v>24</v>
      </c>
      <c r="B28" s="9" t="s">
        <v>21</v>
      </c>
      <c r="C28">
        <f>kappa*(T_s-T_i)*Face_Area/L</f>
        <v>248.10618160930659</v>
      </c>
      <c r="D28" t="s">
        <v>32</v>
      </c>
    </row>
    <row r="29" spans="1:5" x14ac:dyDescent="0.25">
      <c r="B29" s="9"/>
    </row>
    <row r="30" spans="1:5" x14ac:dyDescent="0.25">
      <c r="B30" s="9" t="s">
        <v>22</v>
      </c>
      <c r="C30" s="6">
        <f>ROUND(C26-C28, 3)</f>
        <v>0</v>
      </c>
      <c r="D30" t="s">
        <v>12</v>
      </c>
    </row>
    <row r="32" spans="1:5" x14ac:dyDescent="0.25">
      <c r="B32" s="9" t="s">
        <v>41</v>
      </c>
      <c r="C32" s="2">
        <f>(tau_s*G_s) + (tau_sky*G_sky)</f>
        <v>0</v>
      </c>
    </row>
    <row r="33" spans="2:3" x14ac:dyDescent="0.25">
      <c r="B33" s="10" t="s">
        <v>42</v>
      </c>
      <c r="C33" s="12">
        <f>Total_LHS+Transmit</f>
        <v>248.10638681523051</v>
      </c>
    </row>
    <row r="35" spans="2:3" x14ac:dyDescent="0.25">
      <c r="B35" t="s">
        <v>36</v>
      </c>
    </row>
    <row r="36" spans="2:3" x14ac:dyDescent="0.25">
      <c r="B36" t="s">
        <v>37</v>
      </c>
    </row>
    <row r="37" spans="2:3" x14ac:dyDescent="0.25">
      <c r="B37" t="s">
        <v>38</v>
      </c>
    </row>
  </sheetData>
  <mergeCells count="1">
    <mergeCell ref="A22:A26"/>
  </mergeCells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Sheet1</vt:lpstr>
      <vt:lpstr>alpha_s</vt:lpstr>
      <vt:lpstr>alpha_sky</vt:lpstr>
      <vt:lpstr>Conduct</vt:lpstr>
      <vt:lpstr>Convect</vt:lpstr>
      <vt:lpstr>epsilon_0</vt:lpstr>
      <vt:lpstr>Error</vt:lpstr>
      <vt:lpstr>Face_Area</vt:lpstr>
      <vt:lpstr>G_s</vt:lpstr>
      <vt:lpstr>G_sky</vt:lpstr>
      <vt:lpstr>h</vt:lpstr>
      <vt:lpstr>kappa</vt:lpstr>
      <vt:lpstr>L</vt:lpstr>
      <vt:lpstr>Radiate</vt:lpstr>
      <vt:lpstr>sigma</vt:lpstr>
      <vt:lpstr>Sky</vt:lpstr>
      <vt:lpstr>Solar</vt:lpstr>
      <vt:lpstr>T_amb</vt:lpstr>
      <vt:lpstr>T_i</vt:lpstr>
      <vt:lpstr>T_s</vt:lpstr>
      <vt:lpstr>tau_s</vt:lpstr>
      <vt:lpstr>tau_sky</vt:lpstr>
      <vt:lpstr>Total_LHS</vt:lpstr>
      <vt:lpstr>Transmit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Chiradeep Sen</dc:creator>
  <cp:lastModifiedBy>Chiradeep Sen</cp:lastModifiedBy>
  <dcterms:created xsi:type="dcterms:W3CDTF">2015-06-05T18:17:20Z</dcterms:created>
  <dcterms:modified xsi:type="dcterms:W3CDTF">2022-01-17T16:37:57Z</dcterms:modified>
</cp:coreProperties>
</file>